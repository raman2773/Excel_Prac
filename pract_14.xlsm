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study material\data analyst\COMPLETED ASSIGNMENTS\Excel\"/>
    </mc:Choice>
  </mc:AlternateContent>
  <xr:revisionPtr revIDLastSave="0" documentId="13_ncr:1_{38C47111-54CA-47C0-A2AD-8C4AC4E4FCD4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1" sheetId="27" r:id="rId1"/>
    <sheet name="1(solution)" sheetId="13" r:id="rId2"/>
    <sheet name="1 (verify)" sheetId="30" r:id="rId3"/>
    <sheet name="2" sheetId="2" r:id="rId4"/>
    <sheet name="2(Dataset)" sheetId="31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1" i="13" l="1"/>
  <c r="K40" i="13"/>
  <c r="K3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K18" i="13"/>
  <c r="K17" i="13"/>
  <c r="K16" i="13"/>
  <c r="K15" i="13"/>
  <c r="K14" i="13"/>
  <c r="K13" i="13"/>
  <c r="K12" i="13"/>
  <c r="K11" i="13"/>
  <c r="K10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K9" i="13"/>
  <c r="J9" i="13"/>
  <c r="H9" i="13"/>
</calcChain>
</file>

<file path=xl/sharedStrings.xml><?xml version="1.0" encoding="utf-8"?>
<sst xmlns="http://schemas.openxmlformats.org/spreadsheetml/2006/main" count="210" uniqueCount="83">
  <si>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</si>
  <si>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</si>
  <si>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</si>
  <si>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</si>
  <si>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</si>
  <si>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</si>
  <si>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</si>
  <si>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</si>
  <si>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</si>
  <si>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</si>
  <si>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</si>
  <si>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</si>
  <si>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</si>
  <si>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</si>
  <si>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</si>
  <si>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</si>
  <si>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</si>
  <si>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</si>
  <si>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</si>
  <si>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</si>
  <si>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</si>
  <si>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 %</t>
  </si>
  <si>
    <t>ARMY PUBLIC SCHOOL ,KIRKEE</t>
  </si>
  <si>
    <t>Father Name :</t>
  </si>
  <si>
    <t>Name :</t>
  </si>
  <si>
    <t>Mother Name :</t>
  </si>
  <si>
    <t>Gender :</t>
  </si>
  <si>
    <t>Address :</t>
  </si>
  <si>
    <t>City :</t>
  </si>
  <si>
    <t>State :</t>
  </si>
  <si>
    <t>Pincode :</t>
  </si>
  <si>
    <t>DOB :</t>
  </si>
  <si>
    <t>Reg No. :</t>
  </si>
  <si>
    <t>Date :</t>
  </si>
  <si>
    <t>Enrolled IN :</t>
  </si>
  <si>
    <t>Office Stamp :</t>
  </si>
  <si>
    <t>Name</t>
  </si>
  <si>
    <t>REG NO.</t>
  </si>
  <si>
    <t>Date</t>
  </si>
  <si>
    <t>DOB</t>
  </si>
  <si>
    <t>Father Name</t>
  </si>
  <si>
    <t>Mother Name</t>
  </si>
  <si>
    <t>Gender</t>
  </si>
  <si>
    <t>Address</t>
  </si>
  <si>
    <t>City</t>
  </si>
  <si>
    <t>State</t>
  </si>
  <si>
    <t>Enrolled IN</t>
  </si>
  <si>
    <t>Male</t>
  </si>
  <si>
    <t>Pune</t>
  </si>
  <si>
    <t>Maharashtra</t>
  </si>
  <si>
    <t>Manisha Yadav</t>
  </si>
  <si>
    <t>Tanuj Singh</t>
  </si>
  <si>
    <t>Rajbir Singh</t>
  </si>
  <si>
    <t>Khaithal</t>
  </si>
  <si>
    <t>Haryana</t>
  </si>
  <si>
    <t>3rd</t>
  </si>
  <si>
    <t>Makan No. 310,Badsikri,Khalayat</t>
  </si>
  <si>
    <t>Raman Singh</t>
  </si>
  <si>
    <t>Dalbir Singh</t>
  </si>
  <si>
    <t>Sushila Devi</t>
  </si>
  <si>
    <t>Khedar</t>
  </si>
  <si>
    <t>Hisar</t>
  </si>
  <si>
    <t>B.E</t>
  </si>
  <si>
    <t>Suraj</t>
  </si>
  <si>
    <t>Rakesh</t>
  </si>
  <si>
    <t>Parvati</t>
  </si>
  <si>
    <t>Nanded</t>
  </si>
  <si>
    <t>Priya</t>
  </si>
  <si>
    <t>Mahendar</t>
  </si>
  <si>
    <t>Anjali</t>
  </si>
  <si>
    <t>Female</t>
  </si>
  <si>
    <t>MES Colony,Agra</t>
  </si>
  <si>
    <t>Agra</t>
  </si>
  <si>
    <t>Uttar Pradesh</t>
  </si>
  <si>
    <t>11th</t>
  </si>
  <si>
    <t>Tina</t>
  </si>
  <si>
    <t>Ramdev</t>
  </si>
  <si>
    <t>Savitri</t>
  </si>
  <si>
    <t>Easy Stay PG</t>
  </si>
  <si>
    <t>Goa</t>
  </si>
  <si>
    <t>8th</t>
  </si>
  <si>
    <t>Panji</t>
  </si>
  <si>
    <t>PRESS TO VERIFY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</si>
</sst>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EG000&quot;#"/>
  </numFmts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20"/>
      <color rgb="FF7030A0"/>
      <name val="Calibri"/>
      <family val="2"/>
      <scheme val="minor"/>
    </font>
    <font>
      <b/>
      <sz val="14"/>
      <color rgb="FF000000"/>
      <name val="Calibri"/>
      <family val="2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5" xfId="0" applyBorder="1"/>
    <xf numFmtId="2" fontId="0" fillId="0" borderId="6" xfId="0" applyNumberFormat="1" applyBorder="1"/>
    <xf numFmtId="0" fontId="0" fillId="0" borderId="7" xfId="0" applyBorder="1"/>
    <xf numFmtId="0" fontId="0" fillId="0" borderId="8" xfId="0" applyBorder="1"/>
    <xf numFmtId="2" fontId="0" fillId="0" borderId="9" xfId="0" applyNumberFormat="1" applyBorder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7" fillId="5" borderId="10" xfId="0" applyFont="1" applyFill="1" applyBorder="1"/>
    <xf numFmtId="0" fontId="7" fillId="5" borderId="11" xfId="0" applyFont="1" applyFill="1" applyBorder="1"/>
    <xf numFmtId="0" fontId="7" fillId="5" borderId="12" xfId="0" applyFont="1" applyFill="1" applyBorder="1"/>
    <xf numFmtId="0" fontId="7" fillId="5" borderId="13" xfId="0" applyFont="1" applyFill="1" applyBorder="1"/>
    <xf numFmtId="0" fontId="7" fillId="5" borderId="0" xfId="0" applyFont="1" applyFill="1"/>
    <xf numFmtId="0" fontId="7" fillId="5" borderId="14" xfId="0" applyFont="1" applyFill="1" applyBorder="1"/>
    <xf numFmtId="0" fontId="3" fillId="5" borderId="13" xfId="0" applyFont="1" applyFill="1" applyBorder="1" applyAlignment="1">
      <alignment horizontal="right"/>
    </xf>
    <xf numFmtId="0" fontId="7" fillId="5" borderId="13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0" fontId="7" fillId="5" borderId="0" xfId="0" applyFont="1" applyFill="1" applyAlignment="1">
      <alignment horizontal="left" vertical="top"/>
    </xf>
    <xf numFmtId="0" fontId="7" fillId="5" borderId="14" xfId="0" applyFont="1" applyFill="1" applyBorder="1" applyAlignment="1">
      <alignment horizontal="left" vertical="top"/>
    </xf>
    <xf numFmtId="0" fontId="7" fillId="5" borderId="15" xfId="0" applyFont="1" applyFill="1" applyBorder="1"/>
    <xf numFmtId="0" fontId="7" fillId="5" borderId="16" xfId="0" applyFont="1" applyFill="1" applyBorder="1"/>
    <xf numFmtId="0" fontId="7" fillId="5" borderId="17" xfId="0" applyFont="1" applyFill="1" applyBorder="1"/>
    <xf numFmtId="0" fontId="0" fillId="5" borderId="13" xfId="0" applyFill="1" applyBorder="1"/>
    <xf numFmtId="0" fontId="0" fillId="5" borderId="0" xfId="0" applyFill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164" fontId="2" fillId="3" borderId="26" xfId="0" applyNumberFormat="1" applyFont="1" applyFill="1" applyBorder="1" applyAlignment="1">
      <alignment horizontal="center"/>
    </xf>
    <xf numFmtId="14" fontId="2" fillId="3" borderId="27" xfId="0" applyNumberFormat="1" applyFont="1" applyFill="1" applyBorder="1" applyAlignment="1">
      <alignment horizontal="center"/>
    </xf>
    <xf numFmtId="0" fontId="2" fillId="3" borderId="27" xfId="0" applyFont="1" applyFill="1" applyBorder="1" applyAlignment="1">
      <alignment horizontal="center"/>
    </xf>
    <xf numFmtId="0" fontId="2" fillId="3" borderId="28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left" vertical="top"/>
    </xf>
    <xf numFmtId="0" fontId="7" fillId="5" borderId="23" xfId="0" applyFont="1" applyFill="1" applyBorder="1" applyAlignment="1">
      <alignment horizontal="left" vertical="top"/>
    </xf>
    <xf numFmtId="0" fontId="3" fillId="5" borderId="13" xfId="0" applyFont="1" applyFill="1" applyBorder="1" applyAlignment="1">
      <alignment horizontal="right"/>
    </xf>
    <xf numFmtId="0" fontId="3" fillId="5" borderId="0" xfId="0" applyFont="1" applyFill="1" applyAlignment="1">
      <alignment horizontal="right"/>
    </xf>
    <xf numFmtId="14" fontId="7" fillId="5" borderId="19" xfId="0" applyNumberFormat="1" applyFont="1" applyFill="1" applyBorder="1" applyAlignment="1">
      <alignment horizontal="left" vertical="top"/>
    </xf>
    <xf numFmtId="164" fontId="7" fillId="5" borderId="19" xfId="0" applyNumberFormat="1" applyFont="1" applyFill="1" applyBorder="1" applyAlignment="1">
      <alignment horizontal="left" vertical="top"/>
    </xf>
    <xf numFmtId="164" fontId="7" fillId="5" borderId="23" xfId="0" applyNumberFormat="1" applyFont="1" applyFill="1" applyBorder="1" applyAlignment="1">
      <alignment horizontal="left" vertical="top"/>
    </xf>
    <xf numFmtId="0" fontId="7" fillId="5" borderId="20" xfId="0" applyFont="1" applyFill="1" applyBorder="1" applyAlignment="1">
      <alignment horizontal="left" vertical="top"/>
    </xf>
    <xf numFmtId="0" fontId="7" fillId="5" borderId="24" xfId="0" applyFont="1" applyFill="1" applyBorder="1" applyAlignment="1">
      <alignment horizontal="left" vertical="top"/>
    </xf>
    <xf numFmtId="0" fontId="7" fillId="5" borderId="21" xfId="0" applyFont="1" applyFill="1" applyBorder="1" applyAlignment="1">
      <alignment horizontal="left" vertical="top"/>
    </xf>
    <xf numFmtId="0" fontId="7" fillId="5" borderId="14" xfId="0" applyFont="1" applyFill="1" applyBorder="1" applyAlignment="1">
      <alignment horizontal="left" vertical="top"/>
    </xf>
    <xf numFmtId="0" fontId="7" fillId="5" borderId="25" xfId="0" applyFont="1" applyFill="1" applyBorder="1" applyAlignment="1">
      <alignment horizontal="left" vertical="top"/>
    </xf>
    <xf numFmtId="0" fontId="7" fillId="5" borderId="17" xfId="0" applyFont="1" applyFill="1" applyBorder="1" applyAlignment="1">
      <alignment horizontal="left" vertical="top"/>
    </xf>
    <xf numFmtId="0" fontId="7" fillId="5" borderId="0" xfId="0" applyFont="1" applyFill="1" applyAlignment="1">
      <alignment horizontal="left" vertical="top"/>
    </xf>
    <xf numFmtId="0" fontId="7" fillId="5" borderId="20" xfId="0" applyFont="1" applyFill="1" applyBorder="1" applyAlignment="1">
      <alignment horizontal="left" vertical="top" wrapText="1"/>
    </xf>
    <xf numFmtId="0" fontId="7" fillId="5" borderId="24" xfId="0" applyFont="1" applyFill="1" applyBorder="1" applyAlignment="1">
      <alignment horizontal="left" vertical="top" wrapText="1"/>
    </xf>
    <xf numFmtId="0" fontId="7" fillId="5" borderId="21" xfId="0" applyFont="1" applyFill="1" applyBorder="1" applyAlignment="1">
      <alignment horizontal="left" vertical="top" wrapText="1"/>
    </xf>
    <xf numFmtId="0" fontId="7" fillId="5" borderId="14" xfId="0" applyFont="1" applyFill="1" applyBorder="1" applyAlignment="1">
      <alignment horizontal="left" vertical="top" wrapText="1"/>
    </xf>
    <xf numFmtId="0" fontId="7" fillId="5" borderId="22" xfId="0" applyFont="1" applyFill="1" applyBorder="1" applyAlignment="1">
      <alignment horizontal="left" vertical="top" wrapText="1"/>
    </xf>
    <xf numFmtId="0" fontId="7" fillId="5" borderId="18" xfId="0" applyFont="1" applyFill="1" applyBorder="1" applyAlignment="1">
      <alignment horizontal="left" vertical="top" wrapText="1"/>
    </xf>
    <xf numFmtId="0" fontId="3" fillId="6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180975</xdr:rowOff>
        </xdr:from>
        <xdr:to>
          <xdr:col>8</xdr:col>
          <xdr:colOff>1352550</xdr:colOff>
          <xdr:row>3</xdr:row>
          <xdr:rowOff>180975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1190625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381000</xdr:colOff>
      <xdr:row>2</xdr:row>
      <xdr:rowOff>127000</xdr:rowOff>
    </xdr:from>
    <xdr:to>
      <xdr:col>10</xdr:col>
      <xdr:colOff>359833</xdr:colOff>
      <xdr:row>3</xdr:row>
      <xdr:rowOff>74083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AEF7A919-D6BA-5E85-E4BD-234DF71E16AD}"/>
            </a:ext>
          </a:extLst>
        </xdr:cNvPr>
        <xdr:cNvSpPr/>
      </xdr:nvSpPr>
      <xdr:spPr>
        <a:xfrm>
          <a:off x="8805333" y="508000"/>
          <a:ext cx="592667" cy="13758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10583</xdr:colOff>
      <xdr:row>6</xdr:row>
      <xdr:rowOff>21167</xdr:rowOff>
    </xdr:from>
    <xdr:to>
      <xdr:col>3</xdr:col>
      <xdr:colOff>232834</xdr:colOff>
      <xdr:row>8</xdr:row>
      <xdr:rowOff>190501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1174750"/>
          <a:ext cx="836084" cy="550334"/>
        </a:xfrm>
        <a:prstGeom prst="rect">
          <a:avLst/>
        </a:prstGeom>
      </xdr:spPr>
    </xdr:pic>
    <xdr:clientData/>
  </xdr:twoCellAnchor>
  <xdr:twoCellAnchor>
    <xdr:from>
      <xdr:col>6</xdr:col>
      <xdr:colOff>656166</xdr:colOff>
      <xdr:row>29</xdr:row>
      <xdr:rowOff>0</xdr:rowOff>
    </xdr:from>
    <xdr:to>
      <xdr:col>8</xdr:col>
      <xdr:colOff>613833</xdr:colOff>
      <xdr:row>31</xdr:row>
      <xdr:rowOff>190500</xdr:rowOff>
    </xdr:to>
    <xdr:sp macro="[0]!Macro11" textlink="">
      <xdr:nvSpPr>
        <xdr:cNvPr id="8" name="Arrow: Pentago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635499" y="5767917"/>
          <a:ext cx="1502834" cy="571500"/>
        </a:xfrm>
        <a:prstGeom prst="homePlate">
          <a:avLst>
            <a:gd name="adj" fmla="val 64815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>
              <a:solidFill>
                <a:srgbClr val="7030A0"/>
              </a:solidFill>
            </a:rPr>
            <a:t>SUBMIT</a:t>
          </a:r>
        </a:p>
      </xdr:txBody>
    </xdr:sp>
    <xdr:clientData/>
  </xdr:twoCellAnchor>
  <xdr:twoCellAnchor>
    <xdr:from>
      <xdr:col>3</xdr:col>
      <xdr:colOff>211667</xdr:colOff>
      <xdr:row>29</xdr:row>
      <xdr:rowOff>10584</xdr:rowOff>
    </xdr:from>
    <xdr:to>
      <xdr:col>5</xdr:col>
      <xdr:colOff>275166</xdr:colOff>
      <xdr:row>32</xdr:row>
      <xdr:rowOff>1</xdr:rowOff>
    </xdr:to>
    <xdr:sp macro="[0]!_xludf.clear" textlink="">
      <xdr:nvSpPr>
        <xdr:cNvPr id="9" name="Flowchart: Alternate Proces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053167" y="5778501"/>
          <a:ext cx="1259416" cy="571500"/>
        </a:xfrm>
        <a:prstGeom prst="flowChartAlternateProcess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2400" b="1">
              <a:solidFill>
                <a:srgbClr val="7030A0"/>
              </a:solidFill>
              <a:effectLst/>
              <a:latin typeface="+mn-lt"/>
              <a:ea typeface="+mn-ea"/>
              <a:cs typeface="+mn-cs"/>
            </a:rPr>
            <a:t>RESET</a:t>
          </a:r>
          <a:endParaRPr lang="en-IN" sz="2400" b="1">
            <a:solidFill>
              <a:srgbClr val="7030A0"/>
            </a:solidFill>
            <a:effectLst/>
          </a:endParaRPr>
        </a:p>
        <a:p>
          <a:pPr algn="l"/>
          <a:endParaRPr lang="en-IN" sz="1100">
            <a:solidFill>
              <a:srgbClr val="7030A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E3BFE-E717-406F-85FF-958F9303796F}">
  <sheetPr codeName="Sheet1"/>
  <dimension ref="B2:N41"/>
  <sheetViews>
    <sheetView zoomScale="90" zoomScaleNormal="90" workbookViewId="0">
      <selection activeCell="K8" sqref="K8"/>
    </sheetView>
  </sheetViews>
  <sheetFormatPr defaultRowHeight="15" x14ac:dyDescent="0.25"/>
  <cols>
    <col min="4" max="4" width="13.85546875" customWidth="1"/>
    <col min="5" max="5" width="19.42578125" customWidth="1"/>
    <col min="6" max="6" width="10.140625" customWidth="1"/>
    <col min="7" max="7" width="14.42578125" customWidth="1"/>
    <col min="8" max="8" width="18" bestFit="1" customWidth="1"/>
    <col min="9" max="9" width="23" customWidth="1"/>
    <col min="11" max="12" width="10.140625" customWidth="1"/>
  </cols>
  <sheetData>
    <row r="2" spans="2:14" x14ac:dyDescent="0.25">
      <c r="B2" s="1" t="s">
        <v>0</v>
      </c>
      <c r="N2" s="1" t="s">
        <v>19</v>
      </c>
    </row>
    <row r="3" spans="2:14" x14ac:dyDescent="0.25">
      <c r="B3" s="1" t="s">
        <v>1</v>
      </c>
    </row>
    <row r="4" spans="2:14" x14ac:dyDescent="0.25">
      <c r="B4" s="1" t="s">
        <v>16</v>
      </c>
    </row>
    <row r="5" spans="2:14" x14ac:dyDescent="0.25">
      <c r="B5" s="1" t="s">
        <v>17</v>
      </c>
    </row>
    <row r="6" spans="2:14" x14ac:dyDescent="0.25">
      <c r="B6" s="1" t="s">
        <v>18</v>
      </c>
    </row>
    <row r="8" spans="2:14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2:14" x14ac:dyDescent="0.25">
      <c r="C9">
        <v>20847</v>
      </c>
      <c r="D9" t="s">
        <v>5</v>
      </c>
      <c r="E9">
        <v>4</v>
      </c>
      <c r="F9">
        <v>2.84</v>
      </c>
      <c r="G9">
        <v>0.93</v>
      </c>
      <c r="I9">
        <v>0.54</v>
      </c>
    </row>
    <row r="10" spans="2:14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2:14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2:14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2:14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2:14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2:14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2:14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3E0AC-CF4E-4F69-B4CC-ADEEECCE5EDA}">
  <sheetPr codeName="Sheet3"/>
  <dimension ref="B2:N41"/>
  <sheetViews>
    <sheetView workbookViewId="0">
      <selection activeCell="M5" sqref="M5"/>
    </sheetView>
  </sheetViews>
  <sheetFormatPr defaultRowHeight="15" x14ac:dyDescent="0.25"/>
  <cols>
    <col min="3" max="3" width="7.85546875" bestFit="1" customWidth="1"/>
    <col min="4" max="4" width="14.85546875" bestFit="1" customWidth="1"/>
    <col min="5" max="5" width="18.42578125" bestFit="1" customWidth="1"/>
    <col min="6" max="6" width="10.5703125" bestFit="1" customWidth="1"/>
    <col min="7" max="7" width="14.42578125" bestFit="1" customWidth="1"/>
    <col min="8" max="8" width="14.28515625" bestFit="1" customWidth="1"/>
    <col min="9" max="9" width="25.28515625" bestFit="1" customWidth="1"/>
    <col min="10" max="10" width="6.7109375" bestFit="1" customWidth="1"/>
    <col min="11" max="11" width="8.85546875" bestFit="1" customWidth="1"/>
  </cols>
  <sheetData>
    <row r="2" spans="2:14" x14ac:dyDescent="0.25">
      <c r="B2" s="1" t="s">
        <v>0</v>
      </c>
      <c r="N2" s="1" t="s">
        <v>19</v>
      </c>
    </row>
    <row r="3" spans="2:14" x14ac:dyDescent="0.25">
      <c r="B3" s="1" t="s">
        <v>1</v>
      </c>
    </row>
    <row r="4" spans="2:14" x14ac:dyDescent="0.25">
      <c r="B4" s="1" t="s">
        <v>16</v>
      </c>
    </row>
    <row r="5" spans="2:14" x14ac:dyDescent="0.25">
      <c r="B5" s="1" t="s">
        <v>17</v>
      </c>
    </row>
    <row r="6" spans="2:14" x14ac:dyDescent="0.25">
      <c r="B6" s="1" t="s">
        <v>18</v>
      </c>
    </row>
    <row r="7" spans="2:14" ht="15.75" thickBot="1" x14ac:dyDescent="0.3"/>
    <row r="8" spans="2:14" ht="15.75" x14ac:dyDescent="0.25">
      <c r="C8" s="8" t="s">
        <v>3</v>
      </c>
      <c r="D8" s="9" t="s">
        <v>4</v>
      </c>
      <c r="E8" s="9" t="s">
        <v>11</v>
      </c>
      <c r="F8" s="9" t="s">
        <v>12</v>
      </c>
      <c r="G8" s="9" t="s">
        <v>13</v>
      </c>
      <c r="H8" s="9" t="s">
        <v>14</v>
      </c>
      <c r="I8" s="9" t="s">
        <v>15</v>
      </c>
      <c r="J8" s="9" t="s">
        <v>10</v>
      </c>
      <c r="K8" s="10" t="s">
        <v>21</v>
      </c>
    </row>
    <row r="9" spans="2:14" x14ac:dyDescent="0.25">
      <c r="C9" s="3">
        <v>20847</v>
      </c>
      <c r="D9" s="2" t="s">
        <v>5</v>
      </c>
      <c r="E9" s="2">
        <v>4</v>
      </c>
      <c r="F9" s="2">
        <v>2.84</v>
      </c>
      <c r="G9" s="2">
        <v>0.93</v>
      </c>
      <c r="H9" s="2">
        <f>E9*F9</f>
        <v>11.36</v>
      </c>
      <c r="I9" s="2">
        <v>0.54</v>
      </c>
      <c r="J9" s="2">
        <f>I9*E9-G9</f>
        <v>1.23</v>
      </c>
      <c r="K9" s="4">
        <f>J9/H9*100</f>
        <v>10.827464788732396</v>
      </c>
    </row>
    <row r="10" spans="2:14" x14ac:dyDescent="0.25">
      <c r="C10" s="3">
        <v>20228</v>
      </c>
      <c r="D10" s="2" t="s">
        <v>6</v>
      </c>
      <c r="E10" s="2">
        <v>12</v>
      </c>
      <c r="F10" s="2">
        <v>500.98</v>
      </c>
      <c r="G10" s="2">
        <v>26</v>
      </c>
      <c r="H10" s="2">
        <f t="shared" ref="H10:H41" si="0">E10*F10</f>
        <v>6011.76</v>
      </c>
      <c r="I10" s="2">
        <v>0.6</v>
      </c>
      <c r="J10" s="2">
        <f t="shared" ref="J10:J41" si="1">I10*E10-G10</f>
        <v>-18.8</v>
      </c>
      <c r="K10" s="4">
        <f t="shared" ref="K10:K41" si="2">J10/H10*100</f>
        <v>-0.31272040134669382</v>
      </c>
    </row>
    <row r="11" spans="2:14" x14ac:dyDescent="0.25">
      <c r="C11" s="3">
        <v>21776</v>
      </c>
      <c r="D11" s="2" t="s">
        <v>7</v>
      </c>
      <c r="E11" s="2">
        <v>22</v>
      </c>
      <c r="F11" s="2">
        <v>9.48</v>
      </c>
      <c r="G11" s="2">
        <v>7.29</v>
      </c>
      <c r="H11" s="2">
        <f t="shared" si="0"/>
        <v>208.56</v>
      </c>
      <c r="I11" s="2">
        <v>0.45</v>
      </c>
      <c r="J11" s="2">
        <f t="shared" si="1"/>
        <v>2.6100000000000003</v>
      </c>
      <c r="K11" s="4">
        <f t="shared" si="2"/>
        <v>1.251438434982739</v>
      </c>
    </row>
    <row r="12" spans="2:14" x14ac:dyDescent="0.25">
      <c r="C12" s="3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2">
        <f t="shared" si="0"/>
        <v>1259.04</v>
      </c>
      <c r="I12" s="2">
        <v>0.43</v>
      </c>
      <c r="J12" s="2">
        <f t="shared" si="1"/>
        <v>-13.11</v>
      </c>
      <c r="K12" s="4">
        <f t="shared" si="2"/>
        <v>-1.0412695386961495</v>
      </c>
    </row>
    <row r="13" spans="2:14" x14ac:dyDescent="0.25">
      <c r="C13" s="3">
        <v>24846</v>
      </c>
      <c r="D13" s="2" t="s">
        <v>8</v>
      </c>
      <c r="E13" s="2">
        <v>7</v>
      </c>
      <c r="F13" s="2">
        <v>3.28</v>
      </c>
      <c r="G13" s="2">
        <v>2.31</v>
      </c>
      <c r="H13" s="2">
        <f t="shared" si="0"/>
        <v>22.959999999999997</v>
      </c>
      <c r="I13" s="2">
        <v>0.56000000000000005</v>
      </c>
      <c r="J13" s="2">
        <f t="shared" si="1"/>
        <v>1.6100000000000003</v>
      </c>
      <c r="K13" s="4">
        <f t="shared" si="2"/>
        <v>7.0121951219512217</v>
      </c>
    </row>
    <row r="14" spans="2:14" x14ac:dyDescent="0.25">
      <c r="C14" s="3">
        <v>24847</v>
      </c>
      <c r="D14" s="2" t="s">
        <v>8</v>
      </c>
      <c r="E14" s="2">
        <v>4</v>
      </c>
      <c r="F14" s="2">
        <v>3.28</v>
      </c>
      <c r="G14" s="2">
        <v>4.2</v>
      </c>
      <c r="H14" s="2">
        <f t="shared" si="0"/>
        <v>13.12</v>
      </c>
      <c r="I14" s="2">
        <v>0.56000000000000005</v>
      </c>
      <c r="J14" s="2">
        <f t="shared" si="1"/>
        <v>-1.96</v>
      </c>
      <c r="K14" s="4">
        <f t="shared" si="2"/>
        <v>-14.939024390243901</v>
      </c>
    </row>
    <row r="15" spans="2:14" x14ac:dyDescent="0.25">
      <c r="C15" s="3">
        <v>24848</v>
      </c>
      <c r="D15" s="2" t="s">
        <v>8</v>
      </c>
      <c r="E15" s="2">
        <v>4</v>
      </c>
      <c r="F15" s="2">
        <v>3.58</v>
      </c>
      <c r="G15" s="2">
        <v>1.63</v>
      </c>
      <c r="H15" s="2">
        <f t="shared" si="0"/>
        <v>14.32</v>
      </c>
      <c r="I15" s="2">
        <v>0.36</v>
      </c>
      <c r="J15" s="2">
        <f t="shared" si="1"/>
        <v>-0.18999999999999995</v>
      </c>
      <c r="K15" s="4">
        <f t="shared" si="2"/>
        <v>-1.3268156424581001</v>
      </c>
    </row>
    <row r="16" spans="2:14" x14ac:dyDescent="0.25">
      <c r="C16" s="3">
        <v>18181</v>
      </c>
      <c r="D16" s="2" t="s">
        <v>7</v>
      </c>
      <c r="E16" s="2">
        <v>7</v>
      </c>
      <c r="F16" s="2">
        <v>4.42</v>
      </c>
      <c r="G16" s="2">
        <v>4.99</v>
      </c>
      <c r="H16" s="2">
        <f t="shared" si="0"/>
        <v>30.939999999999998</v>
      </c>
      <c r="I16" s="2">
        <v>0.38</v>
      </c>
      <c r="J16" s="2">
        <f t="shared" si="1"/>
        <v>-2.33</v>
      </c>
      <c r="K16" s="4">
        <f t="shared" si="2"/>
        <v>-7.5307045895281197</v>
      </c>
    </row>
    <row r="17" spans="3:11" x14ac:dyDescent="0.25">
      <c r="C17" s="3">
        <v>20925</v>
      </c>
      <c r="D17" s="2" t="s">
        <v>8</v>
      </c>
      <c r="E17" s="2">
        <v>10</v>
      </c>
      <c r="F17" s="2">
        <v>35.94</v>
      </c>
      <c r="G17" s="2">
        <v>6.66</v>
      </c>
      <c r="H17" s="2">
        <f t="shared" si="0"/>
        <v>359.4</v>
      </c>
      <c r="I17" s="2">
        <v>0.4</v>
      </c>
      <c r="J17" s="2">
        <f t="shared" si="1"/>
        <v>-2.66</v>
      </c>
      <c r="K17" s="4">
        <f t="shared" si="2"/>
        <v>-0.740122426265999</v>
      </c>
    </row>
    <row r="18" spans="3:11" x14ac:dyDescent="0.25">
      <c r="C18" s="3">
        <v>26267</v>
      </c>
      <c r="D18" s="2" t="s">
        <v>5</v>
      </c>
      <c r="E18" s="2">
        <v>6</v>
      </c>
      <c r="F18" s="2">
        <v>2.98</v>
      </c>
      <c r="G18" s="2">
        <v>1.58</v>
      </c>
      <c r="H18" s="2">
        <f t="shared" si="0"/>
        <v>17.88</v>
      </c>
      <c r="I18" s="2">
        <v>0.39</v>
      </c>
      <c r="J18" s="2">
        <f t="shared" si="1"/>
        <v>0.75999999999999979</v>
      </c>
      <c r="K18" s="4">
        <f t="shared" si="2"/>
        <v>4.2505592841163304</v>
      </c>
    </row>
    <row r="19" spans="3:11" x14ac:dyDescent="0.25">
      <c r="C19" s="3">
        <v>26268</v>
      </c>
      <c r="D19" s="2" t="s">
        <v>5</v>
      </c>
      <c r="E19" s="2">
        <v>10</v>
      </c>
      <c r="F19" s="2">
        <v>115.99</v>
      </c>
      <c r="G19" s="2">
        <v>2.5</v>
      </c>
      <c r="H19" s="2">
        <f t="shared" si="0"/>
        <v>1159.8999999999999</v>
      </c>
      <c r="I19" s="2">
        <v>0.55000000000000004</v>
      </c>
      <c r="J19" s="2">
        <f t="shared" si="1"/>
        <v>3</v>
      </c>
      <c r="K19" s="4">
        <f t="shared" si="2"/>
        <v>0.25864298646435041</v>
      </c>
    </row>
    <row r="20" spans="3:11" x14ac:dyDescent="0.25">
      <c r="C20" s="3">
        <v>23890</v>
      </c>
      <c r="D20" s="2" t="s">
        <v>5</v>
      </c>
      <c r="E20" s="2">
        <v>17</v>
      </c>
      <c r="F20" s="2">
        <v>26.48</v>
      </c>
      <c r="G20" s="2">
        <v>6.93</v>
      </c>
      <c r="H20" s="2">
        <f t="shared" si="0"/>
        <v>450.16</v>
      </c>
      <c r="I20" s="2">
        <v>0.49</v>
      </c>
      <c r="J20" s="2">
        <f t="shared" si="1"/>
        <v>1.4000000000000004</v>
      </c>
      <c r="K20" s="4">
        <f t="shared" si="2"/>
        <v>0.31100053314377119</v>
      </c>
    </row>
    <row r="21" spans="3:11" x14ac:dyDescent="0.25">
      <c r="C21" s="3">
        <v>24063</v>
      </c>
      <c r="D21" s="2" t="s">
        <v>6</v>
      </c>
      <c r="E21" s="2">
        <v>18</v>
      </c>
      <c r="F21" s="2">
        <v>12.99</v>
      </c>
      <c r="G21" s="2">
        <v>9.44</v>
      </c>
      <c r="H21" s="2">
        <f t="shared" si="0"/>
        <v>233.82</v>
      </c>
      <c r="I21" s="2">
        <v>0.39</v>
      </c>
      <c r="J21" s="2">
        <f t="shared" si="1"/>
        <v>-2.419999999999999</v>
      </c>
      <c r="K21" s="4">
        <f t="shared" si="2"/>
        <v>-1.0349841758617737</v>
      </c>
    </row>
    <row r="22" spans="3:11" x14ac:dyDescent="0.25">
      <c r="C22" s="3">
        <v>5890</v>
      </c>
      <c r="D22" s="2" t="s">
        <v>5</v>
      </c>
      <c r="E22" s="2">
        <v>70</v>
      </c>
      <c r="F22" s="2">
        <v>26.48</v>
      </c>
      <c r="G22" s="2">
        <v>6.93</v>
      </c>
      <c r="H22" s="2">
        <f t="shared" si="0"/>
        <v>1853.6000000000001</v>
      </c>
      <c r="I22" s="2">
        <v>0.49</v>
      </c>
      <c r="J22" s="2">
        <f t="shared" si="1"/>
        <v>27.369999999999997</v>
      </c>
      <c r="K22" s="4">
        <f t="shared" si="2"/>
        <v>1.476586102719033</v>
      </c>
    </row>
    <row r="23" spans="3:11" x14ac:dyDescent="0.25">
      <c r="C23" s="3">
        <v>6062</v>
      </c>
      <c r="D23" s="2" t="s">
        <v>6</v>
      </c>
      <c r="E23" s="2">
        <v>58</v>
      </c>
      <c r="F23" s="2">
        <v>5</v>
      </c>
      <c r="G23" s="2">
        <v>3.39</v>
      </c>
      <c r="H23" s="2">
        <f t="shared" si="0"/>
        <v>290</v>
      </c>
      <c r="I23" s="2">
        <v>0.37</v>
      </c>
      <c r="J23" s="2">
        <f t="shared" si="1"/>
        <v>18.07</v>
      </c>
      <c r="K23" s="4">
        <f t="shared" si="2"/>
        <v>6.2310344827586208</v>
      </c>
    </row>
    <row r="24" spans="3:11" x14ac:dyDescent="0.25">
      <c r="C24" s="3">
        <v>6063</v>
      </c>
      <c r="D24" s="2" t="s">
        <v>6</v>
      </c>
      <c r="E24" s="2">
        <v>71</v>
      </c>
      <c r="F24" s="2">
        <v>12.99</v>
      </c>
      <c r="G24" s="2">
        <v>9.44</v>
      </c>
      <c r="H24" s="2">
        <f t="shared" si="0"/>
        <v>922.29</v>
      </c>
      <c r="I24" s="2">
        <v>0.39</v>
      </c>
      <c r="J24" s="2">
        <f t="shared" si="1"/>
        <v>18.25</v>
      </c>
      <c r="K24" s="4">
        <f t="shared" si="2"/>
        <v>1.9787702349586358</v>
      </c>
    </row>
    <row r="25" spans="3:11" x14ac:dyDescent="0.25">
      <c r="C25" s="3">
        <v>20631</v>
      </c>
      <c r="D25" s="2" t="s">
        <v>5</v>
      </c>
      <c r="E25" s="2">
        <v>1</v>
      </c>
      <c r="F25" s="2">
        <v>55.48</v>
      </c>
      <c r="G25" s="2">
        <v>14.3</v>
      </c>
      <c r="H25" s="2">
        <f t="shared" si="0"/>
        <v>55.48</v>
      </c>
      <c r="I25" s="2">
        <v>0.37</v>
      </c>
      <c r="J25" s="2">
        <f t="shared" si="1"/>
        <v>-13.930000000000001</v>
      </c>
      <c r="K25" s="4">
        <f t="shared" si="2"/>
        <v>-25.108147080028843</v>
      </c>
    </row>
    <row r="26" spans="3:11" x14ac:dyDescent="0.25">
      <c r="C26" s="3">
        <v>20632</v>
      </c>
      <c r="D26" s="2" t="s">
        <v>5</v>
      </c>
      <c r="E26" s="2">
        <v>1</v>
      </c>
      <c r="F26" s="2">
        <v>1.68</v>
      </c>
      <c r="G26" s="2">
        <v>1.57</v>
      </c>
      <c r="H26" s="2">
        <f t="shared" si="0"/>
        <v>1.68</v>
      </c>
      <c r="I26" s="2">
        <v>0.59</v>
      </c>
      <c r="J26" s="2">
        <f t="shared" si="1"/>
        <v>-0.98000000000000009</v>
      </c>
      <c r="K26" s="4">
        <f t="shared" si="2"/>
        <v>-58.333333333333336</v>
      </c>
    </row>
    <row r="27" spans="3:11" x14ac:dyDescent="0.25">
      <c r="C27" s="3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2">
        <f t="shared" si="0"/>
        <v>49.679999999999993</v>
      </c>
      <c r="I27" s="2">
        <v>0.49</v>
      </c>
      <c r="J27" s="2">
        <f t="shared" si="1"/>
        <v>-0.71999999999999975</v>
      </c>
      <c r="K27" s="4">
        <f t="shared" si="2"/>
        <v>-1.4492753623188404</v>
      </c>
    </row>
    <row r="28" spans="3:11" x14ac:dyDescent="0.25">
      <c r="C28" s="3">
        <v>23509</v>
      </c>
      <c r="D28" s="2" t="s">
        <v>5</v>
      </c>
      <c r="E28" s="2">
        <v>13</v>
      </c>
      <c r="F28" s="2">
        <v>34.99</v>
      </c>
      <c r="G28" s="2">
        <v>7.73</v>
      </c>
      <c r="H28" s="2">
        <f t="shared" si="0"/>
        <v>454.87</v>
      </c>
      <c r="I28" s="2">
        <v>0.59</v>
      </c>
      <c r="J28" s="2">
        <f t="shared" si="1"/>
        <v>-6.0000000000000497E-2</v>
      </c>
      <c r="K28" s="4">
        <f t="shared" si="2"/>
        <v>-1.3190581924506012E-2</v>
      </c>
    </row>
    <row r="29" spans="3:11" x14ac:dyDescent="0.25">
      <c r="C29" s="3">
        <v>23612</v>
      </c>
      <c r="D29" s="2" t="s">
        <v>5</v>
      </c>
      <c r="E29" s="2">
        <v>2</v>
      </c>
      <c r="F29" s="2">
        <v>17.98</v>
      </c>
      <c r="G29" s="2">
        <v>8.51</v>
      </c>
      <c r="H29" s="2">
        <f t="shared" si="0"/>
        <v>35.96</v>
      </c>
      <c r="I29" s="2">
        <v>0.4</v>
      </c>
      <c r="J29" s="2">
        <f t="shared" si="1"/>
        <v>-7.71</v>
      </c>
      <c r="K29" s="4">
        <f t="shared" si="2"/>
        <v>-21.440489432703004</v>
      </c>
    </row>
    <row r="30" spans="3:11" x14ac:dyDescent="0.25">
      <c r="C30" s="3">
        <v>23278</v>
      </c>
      <c r="D30" s="2" t="s">
        <v>8</v>
      </c>
      <c r="E30" s="2">
        <v>8</v>
      </c>
      <c r="F30" s="2">
        <v>125.99</v>
      </c>
      <c r="G30" s="2">
        <v>7.69</v>
      </c>
      <c r="H30" s="2">
        <f t="shared" si="0"/>
        <v>1007.92</v>
      </c>
      <c r="I30" s="2">
        <v>0.59</v>
      </c>
      <c r="J30" s="2">
        <f t="shared" si="1"/>
        <v>-2.9700000000000006</v>
      </c>
      <c r="K30" s="4">
        <f t="shared" si="2"/>
        <v>-0.29466624335264713</v>
      </c>
    </row>
    <row r="31" spans="3:11" x14ac:dyDescent="0.25">
      <c r="C31" s="3">
        <v>19355</v>
      </c>
      <c r="D31" s="2" t="s">
        <v>9</v>
      </c>
      <c r="E31" s="2">
        <v>22</v>
      </c>
      <c r="F31" s="2">
        <v>205.99</v>
      </c>
      <c r="G31" s="2">
        <v>8.99</v>
      </c>
      <c r="H31" s="2">
        <f t="shared" si="0"/>
        <v>4531.7800000000007</v>
      </c>
      <c r="I31" s="2">
        <v>0.56000000000000005</v>
      </c>
      <c r="J31" s="2">
        <f t="shared" si="1"/>
        <v>3.33</v>
      </c>
      <c r="K31" s="4">
        <f t="shared" si="2"/>
        <v>7.348106042217406E-2</v>
      </c>
    </row>
    <row r="32" spans="3:11" x14ac:dyDescent="0.25">
      <c r="C32" s="3">
        <v>23654</v>
      </c>
      <c r="D32" s="2" t="s">
        <v>6</v>
      </c>
      <c r="E32" s="2">
        <v>13</v>
      </c>
      <c r="F32" s="2">
        <v>4.24</v>
      </c>
      <c r="G32" s="2">
        <v>5.41</v>
      </c>
      <c r="H32" s="2">
        <f t="shared" si="0"/>
        <v>55.120000000000005</v>
      </c>
      <c r="I32" s="2">
        <v>0.35</v>
      </c>
      <c r="J32" s="2">
        <f t="shared" si="1"/>
        <v>-0.86000000000000032</v>
      </c>
      <c r="K32" s="4">
        <f t="shared" si="2"/>
        <v>-1.5602322206095796</v>
      </c>
    </row>
    <row r="33" spans="3:11" x14ac:dyDescent="0.25">
      <c r="C33" s="3">
        <v>23655</v>
      </c>
      <c r="D33" s="2" t="s">
        <v>6</v>
      </c>
      <c r="E33" s="2">
        <v>18</v>
      </c>
      <c r="F33" s="2">
        <v>2.94</v>
      </c>
      <c r="G33" s="2">
        <v>0.7</v>
      </c>
      <c r="H33" s="2">
        <f t="shared" si="0"/>
        <v>52.92</v>
      </c>
      <c r="I33" s="2">
        <v>0.57999999999999996</v>
      </c>
      <c r="J33" s="2">
        <f t="shared" si="1"/>
        <v>9.74</v>
      </c>
      <c r="K33" s="4">
        <f t="shared" si="2"/>
        <v>18.405139833711264</v>
      </c>
    </row>
    <row r="34" spans="3:11" x14ac:dyDescent="0.25">
      <c r="C34" s="3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2">
        <f t="shared" si="0"/>
        <v>599.93999999999994</v>
      </c>
      <c r="I34" s="2">
        <v>0.52</v>
      </c>
      <c r="J34" s="2">
        <f t="shared" si="1"/>
        <v>-16.869999999999997</v>
      </c>
      <c r="K34" s="4">
        <f t="shared" si="2"/>
        <v>-2.8119478614528117</v>
      </c>
    </row>
    <row r="35" spans="3:11" x14ac:dyDescent="0.25">
      <c r="C35" s="3">
        <v>20697</v>
      </c>
      <c r="D35" s="2" t="s">
        <v>8</v>
      </c>
      <c r="E35" s="2">
        <v>6</v>
      </c>
      <c r="F35" s="2">
        <v>115.99</v>
      </c>
      <c r="G35" s="2">
        <v>2.5</v>
      </c>
      <c r="H35" s="2">
        <f t="shared" si="0"/>
        <v>695.93999999999994</v>
      </c>
      <c r="I35" s="2">
        <v>0.56999999999999995</v>
      </c>
      <c r="J35" s="2">
        <f t="shared" si="1"/>
        <v>0.91999999999999993</v>
      </c>
      <c r="K35" s="4">
        <f t="shared" si="2"/>
        <v>0.13219530419289022</v>
      </c>
    </row>
    <row r="36" spans="3:11" x14ac:dyDescent="0.25">
      <c r="C36" s="3">
        <v>20698</v>
      </c>
      <c r="D36" s="2" t="s">
        <v>8</v>
      </c>
      <c r="E36" s="2">
        <v>1</v>
      </c>
      <c r="F36" s="2">
        <v>3502.14</v>
      </c>
      <c r="G36" s="2">
        <v>8.73</v>
      </c>
      <c r="H36" s="2">
        <f t="shared" si="0"/>
        <v>3502.14</v>
      </c>
      <c r="I36" s="2">
        <v>0.56999999999999995</v>
      </c>
      <c r="J36" s="2">
        <f t="shared" si="1"/>
        <v>-8.16</v>
      </c>
      <c r="K36" s="4">
        <f t="shared" si="2"/>
        <v>-0.23300039404478404</v>
      </c>
    </row>
    <row r="37" spans="3:11" x14ac:dyDescent="0.25">
      <c r="C37" s="3">
        <v>22890</v>
      </c>
      <c r="D37" s="2" t="s">
        <v>5</v>
      </c>
      <c r="E37" s="2">
        <v>17</v>
      </c>
      <c r="F37" s="2">
        <v>175.99</v>
      </c>
      <c r="G37" s="2">
        <v>5.79</v>
      </c>
      <c r="H37" s="2">
        <f t="shared" si="0"/>
        <v>2991.83</v>
      </c>
      <c r="I37" s="2">
        <v>0.36</v>
      </c>
      <c r="J37" s="2">
        <f t="shared" si="1"/>
        <v>0.33000000000000007</v>
      </c>
      <c r="K37" s="4">
        <f t="shared" si="2"/>
        <v>1.1030038471437218E-2</v>
      </c>
    </row>
    <row r="38" spans="3:11" x14ac:dyDescent="0.25">
      <c r="C38" s="3">
        <v>25354</v>
      </c>
      <c r="D38" s="2" t="s">
        <v>5</v>
      </c>
      <c r="E38" s="2">
        <v>20</v>
      </c>
      <c r="F38" s="2">
        <v>155.06</v>
      </c>
      <c r="G38" s="2">
        <v>1.49</v>
      </c>
      <c r="H38" s="2">
        <f t="shared" si="0"/>
        <v>3101.2</v>
      </c>
      <c r="I38" s="2">
        <v>0.38</v>
      </c>
      <c r="J38" s="2">
        <f t="shared" si="1"/>
        <v>6.1099999999999994</v>
      </c>
      <c r="K38" s="4">
        <f t="shared" si="2"/>
        <v>0.19702050819037789</v>
      </c>
    </row>
    <row r="39" spans="3:11" x14ac:dyDescent="0.25">
      <c r="C39" s="3">
        <v>21017</v>
      </c>
      <c r="D39" s="2" t="s">
        <v>6</v>
      </c>
      <c r="E39" s="2">
        <v>17</v>
      </c>
      <c r="F39" s="2">
        <v>5.98</v>
      </c>
      <c r="G39" s="2">
        <v>0.7</v>
      </c>
      <c r="H39" s="2">
        <f t="shared" si="0"/>
        <v>101.66000000000001</v>
      </c>
      <c r="I39" s="2">
        <v>0.56000000000000005</v>
      </c>
      <c r="J39" s="2">
        <f t="shared" si="1"/>
        <v>8.8200000000000021</v>
      </c>
      <c r="K39" s="4">
        <f t="shared" si="2"/>
        <v>8.6759787527050971</v>
      </c>
    </row>
    <row r="40" spans="3:11" x14ac:dyDescent="0.25">
      <c r="C40" s="3">
        <v>21019</v>
      </c>
      <c r="D40" s="2" t="s">
        <v>6</v>
      </c>
      <c r="E40" s="2">
        <v>3</v>
      </c>
      <c r="F40" s="2">
        <v>29.14</v>
      </c>
      <c r="G40" s="2">
        <v>5.15</v>
      </c>
      <c r="H40" s="2">
        <f t="shared" si="0"/>
        <v>87.42</v>
      </c>
      <c r="I40" s="2">
        <v>0.36</v>
      </c>
      <c r="J40" s="2">
        <f t="shared" si="1"/>
        <v>-4.07</v>
      </c>
      <c r="K40" s="4">
        <f t="shared" si="2"/>
        <v>-4.6556851978952185</v>
      </c>
    </row>
    <row r="41" spans="3:11" ht="15.75" thickBot="1" x14ac:dyDescent="0.3">
      <c r="C41" s="5">
        <v>23274</v>
      </c>
      <c r="D41" s="6" t="s">
        <v>9</v>
      </c>
      <c r="E41" s="6">
        <v>17</v>
      </c>
      <c r="F41" s="6">
        <v>3.69</v>
      </c>
      <c r="G41" s="6">
        <v>4.8600000000000003</v>
      </c>
      <c r="H41" s="6">
        <f t="shared" si="0"/>
        <v>62.73</v>
      </c>
      <c r="I41" s="6">
        <v>0.38</v>
      </c>
      <c r="J41" s="6">
        <f t="shared" si="1"/>
        <v>1.5999999999999996</v>
      </c>
      <c r="K41" s="7">
        <f t="shared" si="2"/>
        <v>2.5506137414315315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2ass6">
                <anchor moveWithCells="1" sizeWithCells="1">
                  <from>
                    <xdr:col>8</xdr:col>
                    <xdr:colOff>0</xdr:colOff>
                    <xdr:row>1</xdr:row>
                    <xdr:rowOff>180975</xdr:rowOff>
                  </from>
                  <to>
                    <xdr:col>8</xdr:col>
                    <xdr:colOff>1352550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EC380-ED97-4610-9FF8-A98487EBB7B1}">
  <sheetPr codeName="Sheet2"/>
  <dimension ref="B2:N41"/>
  <sheetViews>
    <sheetView zoomScale="90" zoomScaleNormal="90" workbookViewId="0">
      <selection activeCell="L17" sqref="L17"/>
    </sheetView>
  </sheetViews>
  <sheetFormatPr defaultRowHeight="15" x14ac:dyDescent="0.25"/>
  <cols>
    <col min="4" max="4" width="13.85546875" customWidth="1"/>
    <col min="5" max="5" width="19.42578125" customWidth="1"/>
    <col min="6" max="6" width="10.140625" customWidth="1"/>
    <col min="7" max="7" width="14.42578125" customWidth="1"/>
    <col min="8" max="8" width="18" bestFit="1" customWidth="1"/>
    <col min="9" max="9" width="23" customWidth="1"/>
    <col min="11" max="12" width="10.140625" customWidth="1"/>
  </cols>
  <sheetData>
    <row r="2" spans="2:14" x14ac:dyDescent="0.25">
      <c r="B2" s="1" t="s">
        <v>0</v>
      </c>
      <c r="N2" s="1" t="s">
        <v>19</v>
      </c>
    </row>
    <row r="3" spans="2:14" x14ac:dyDescent="0.25">
      <c r="B3" s="1" t="s">
        <v>1</v>
      </c>
      <c r="L3" s="67" t="s">
        <v>82</v>
      </c>
    </row>
    <row r="4" spans="2:14" x14ac:dyDescent="0.25">
      <c r="B4" s="1" t="s">
        <v>16</v>
      </c>
      <c r="L4" s="67"/>
    </row>
    <row r="5" spans="2:14" x14ac:dyDescent="0.25">
      <c r="B5" s="1" t="s">
        <v>17</v>
      </c>
    </row>
    <row r="6" spans="2:14" x14ac:dyDescent="0.25">
      <c r="B6" s="1" t="s">
        <v>18</v>
      </c>
    </row>
    <row r="8" spans="2:14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2:14" x14ac:dyDescent="0.25">
      <c r="C9">
        <v>20847</v>
      </c>
      <c r="D9" t="s">
        <v>5</v>
      </c>
      <c r="E9">
        <v>4</v>
      </c>
      <c r="F9">
        <v>2.84</v>
      </c>
      <c r="G9">
        <v>0.93</v>
      </c>
      <c r="I9">
        <v>0.54</v>
      </c>
    </row>
    <row r="10" spans="2:14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2:14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2:14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2:14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2:14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2:14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2:14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mergeCells count="1">
    <mergeCell ref="L3:L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Macro2ass6">
                <anchor moveWithCells="1" sizeWithCells="1">
                  <from>
                    <xdr:col>7</xdr:col>
                    <xdr:colOff>1190625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5"/>
  <dimension ref="C3:I32"/>
  <sheetViews>
    <sheetView showGridLines="0" tabSelected="1" topLeftCell="A10" zoomScale="90" zoomScaleNormal="90" workbookViewId="0">
      <selection activeCell="E13" sqref="E13:F13"/>
    </sheetView>
  </sheetViews>
  <sheetFormatPr defaultRowHeight="15" x14ac:dyDescent="0.25"/>
  <cols>
    <col min="4" max="4" width="7.140625" customWidth="1"/>
    <col min="5" max="5" width="10.7109375" customWidth="1"/>
    <col min="6" max="6" width="14.140625" customWidth="1"/>
    <col min="7" max="7" width="14" customWidth="1"/>
    <col min="9" max="9" width="13.85546875" customWidth="1"/>
  </cols>
  <sheetData>
    <row r="3" spans="3:9" x14ac:dyDescent="0.25">
      <c r="C3" s="1" t="s">
        <v>2</v>
      </c>
    </row>
    <row r="4" spans="3:9" x14ac:dyDescent="0.25">
      <c r="C4" s="1" t="s">
        <v>20</v>
      </c>
    </row>
    <row r="6" spans="3:9" ht="15.75" thickBot="1" x14ac:dyDescent="0.3"/>
    <row r="7" spans="3:9" ht="15" customHeight="1" x14ac:dyDescent="0.25">
      <c r="C7" s="38" t="s">
        <v>22</v>
      </c>
      <c r="D7" s="39"/>
      <c r="E7" s="39"/>
      <c r="F7" s="39"/>
      <c r="G7" s="39"/>
      <c r="H7" s="39"/>
      <c r="I7" s="40"/>
    </row>
    <row r="8" spans="3:9" x14ac:dyDescent="0.25">
      <c r="C8" s="41"/>
      <c r="D8" s="42"/>
      <c r="E8" s="42"/>
      <c r="F8" s="42"/>
      <c r="G8" s="42"/>
      <c r="H8" s="42"/>
      <c r="I8" s="43"/>
    </row>
    <row r="9" spans="3:9" ht="15.75" thickBot="1" x14ac:dyDescent="0.3">
      <c r="C9" s="44"/>
      <c r="D9" s="45"/>
      <c r="E9" s="45"/>
      <c r="F9" s="45"/>
      <c r="G9" s="45"/>
      <c r="H9" s="45"/>
      <c r="I9" s="46"/>
    </row>
    <row r="10" spans="3:9" ht="15.75" x14ac:dyDescent="0.25">
      <c r="C10" s="14"/>
      <c r="D10" s="15"/>
      <c r="E10" s="15"/>
      <c r="F10" s="16"/>
      <c r="G10" s="14"/>
      <c r="H10" s="15"/>
      <c r="I10" s="16"/>
    </row>
    <row r="11" spans="3:9" ht="15.75" x14ac:dyDescent="0.25">
      <c r="C11" s="17"/>
      <c r="D11" s="18"/>
      <c r="E11" s="18"/>
      <c r="F11" s="19"/>
      <c r="G11" s="17"/>
      <c r="H11" s="18"/>
      <c r="I11" s="19"/>
    </row>
    <row r="12" spans="3:9" ht="15.75" x14ac:dyDescent="0.25">
      <c r="C12" s="17"/>
      <c r="D12" s="18"/>
      <c r="E12" s="18"/>
      <c r="F12" s="19"/>
      <c r="G12" s="17"/>
      <c r="H12" s="18"/>
      <c r="I12" s="19"/>
    </row>
    <row r="13" spans="3:9" ht="15.75" x14ac:dyDescent="0.25">
      <c r="C13" s="49" t="s">
        <v>24</v>
      </c>
      <c r="D13" s="50"/>
      <c r="E13" s="47"/>
      <c r="F13" s="48"/>
      <c r="G13" s="20" t="s">
        <v>33</v>
      </c>
      <c r="H13" s="51"/>
      <c r="I13" s="48"/>
    </row>
    <row r="14" spans="3:9" ht="15.75" x14ac:dyDescent="0.25">
      <c r="C14" s="21"/>
      <c r="D14" s="22"/>
      <c r="E14" s="23"/>
      <c r="F14" s="24"/>
      <c r="G14" s="21"/>
      <c r="H14" s="23"/>
      <c r="I14" s="24"/>
    </row>
    <row r="15" spans="3:9" ht="15.75" x14ac:dyDescent="0.25">
      <c r="C15" s="49" t="s">
        <v>23</v>
      </c>
      <c r="D15" s="50"/>
      <c r="E15" s="47"/>
      <c r="F15" s="48"/>
      <c r="G15" s="20" t="s">
        <v>32</v>
      </c>
      <c r="H15" s="52"/>
      <c r="I15" s="53"/>
    </row>
    <row r="16" spans="3:9" ht="15.75" x14ac:dyDescent="0.25">
      <c r="C16" s="21"/>
      <c r="D16" s="22"/>
      <c r="E16" s="23"/>
      <c r="F16" s="24"/>
      <c r="G16" s="21"/>
      <c r="H16" s="23"/>
      <c r="I16" s="24"/>
    </row>
    <row r="17" spans="3:9" ht="15.75" x14ac:dyDescent="0.25">
      <c r="C17" s="49" t="s">
        <v>25</v>
      </c>
      <c r="D17" s="50"/>
      <c r="E17" s="47"/>
      <c r="F17" s="48"/>
      <c r="G17" s="20" t="s">
        <v>31</v>
      </c>
      <c r="H17" s="51"/>
      <c r="I17" s="48"/>
    </row>
    <row r="18" spans="3:9" ht="15.75" x14ac:dyDescent="0.25">
      <c r="C18" s="21"/>
      <c r="D18" s="22"/>
      <c r="E18" s="23"/>
      <c r="F18" s="24"/>
      <c r="G18" s="21"/>
      <c r="H18" s="23"/>
      <c r="I18" s="24"/>
    </row>
    <row r="19" spans="3:9" ht="15.75" x14ac:dyDescent="0.25">
      <c r="C19" s="49" t="s">
        <v>26</v>
      </c>
      <c r="D19" s="50"/>
      <c r="E19" s="47"/>
      <c r="F19" s="48"/>
      <c r="G19" s="20" t="s">
        <v>34</v>
      </c>
      <c r="H19" s="47"/>
      <c r="I19" s="48"/>
    </row>
    <row r="20" spans="3:9" ht="15.75" x14ac:dyDescent="0.25">
      <c r="C20" s="21"/>
      <c r="D20" s="22"/>
      <c r="E20" s="23"/>
      <c r="F20" s="24"/>
      <c r="G20" s="21"/>
      <c r="H20" s="23"/>
      <c r="I20" s="24"/>
    </row>
    <row r="21" spans="3:9" ht="15.75" x14ac:dyDescent="0.25">
      <c r="C21" s="49" t="s">
        <v>27</v>
      </c>
      <c r="D21" s="50"/>
      <c r="E21" s="61"/>
      <c r="F21" s="62"/>
      <c r="G21" s="20" t="s">
        <v>30</v>
      </c>
      <c r="H21" s="47"/>
      <c r="I21" s="48"/>
    </row>
    <row r="22" spans="3:9" ht="15.75" x14ac:dyDescent="0.25">
      <c r="C22" s="21"/>
      <c r="D22" s="22"/>
      <c r="E22" s="63"/>
      <c r="F22" s="64"/>
      <c r="G22" s="21"/>
      <c r="H22" s="23"/>
      <c r="I22" s="24"/>
    </row>
    <row r="23" spans="3:9" ht="15.75" x14ac:dyDescent="0.25">
      <c r="C23" s="21"/>
      <c r="D23" s="22"/>
      <c r="E23" s="65"/>
      <c r="F23" s="66"/>
      <c r="G23" s="21"/>
      <c r="H23" s="60"/>
      <c r="I23" s="57"/>
    </row>
    <row r="24" spans="3:9" ht="15.75" x14ac:dyDescent="0.25">
      <c r="C24" s="21"/>
      <c r="D24" s="22"/>
      <c r="E24" s="23"/>
      <c r="F24" s="24"/>
      <c r="G24" s="21"/>
      <c r="H24" s="23"/>
      <c r="I24" s="24"/>
    </row>
    <row r="25" spans="3:9" ht="15.75" x14ac:dyDescent="0.25">
      <c r="C25" s="49" t="s">
        <v>28</v>
      </c>
      <c r="D25" s="50"/>
      <c r="E25" s="47"/>
      <c r="F25" s="48"/>
      <c r="G25" s="21"/>
      <c r="H25" s="23"/>
      <c r="I25" s="24"/>
    </row>
    <row r="26" spans="3:9" ht="15.75" x14ac:dyDescent="0.25">
      <c r="C26" s="21"/>
      <c r="D26" s="22"/>
      <c r="E26" s="23"/>
      <c r="F26" s="24"/>
      <c r="G26" s="20" t="s">
        <v>35</v>
      </c>
      <c r="H26" s="54"/>
      <c r="I26" s="55"/>
    </row>
    <row r="27" spans="3:9" ht="15.75" x14ac:dyDescent="0.25">
      <c r="C27" s="49" t="s">
        <v>29</v>
      </c>
      <c r="D27" s="50"/>
      <c r="E27" s="47"/>
      <c r="F27" s="48"/>
      <c r="G27" s="17"/>
      <c r="H27" s="56"/>
      <c r="I27" s="57"/>
    </row>
    <row r="28" spans="3:9" ht="15.75" x14ac:dyDescent="0.25">
      <c r="C28" s="17"/>
      <c r="D28" s="18"/>
      <c r="E28" s="18"/>
      <c r="F28" s="19"/>
      <c r="G28" s="17"/>
      <c r="H28" s="56"/>
      <c r="I28" s="57"/>
    </row>
    <row r="29" spans="3:9" ht="16.5" thickBot="1" x14ac:dyDescent="0.3">
      <c r="C29" s="25"/>
      <c r="D29" s="26"/>
      <c r="E29" s="26"/>
      <c r="F29" s="27"/>
      <c r="G29" s="25"/>
      <c r="H29" s="58"/>
      <c r="I29" s="59"/>
    </row>
    <row r="30" spans="3:9" x14ac:dyDescent="0.25">
      <c r="C30" s="28"/>
      <c r="D30" s="29"/>
      <c r="E30" s="29"/>
      <c r="F30" s="29"/>
      <c r="G30" s="29"/>
      <c r="H30" s="29"/>
      <c r="I30" s="30"/>
    </row>
    <row r="31" spans="3:9" x14ac:dyDescent="0.25">
      <c r="C31" s="28"/>
      <c r="D31" s="29"/>
      <c r="E31" s="29"/>
      <c r="F31" s="29"/>
      <c r="G31" s="29"/>
      <c r="H31" s="29"/>
      <c r="I31" s="30"/>
    </row>
    <row r="32" spans="3:9" ht="15.75" thickBot="1" x14ac:dyDescent="0.3">
      <c r="C32" s="31"/>
      <c r="D32" s="32"/>
      <c r="E32" s="32"/>
      <c r="F32" s="32"/>
      <c r="G32" s="32"/>
      <c r="H32" s="32"/>
      <c r="I32" s="33"/>
    </row>
  </sheetData>
  <mergeCells count="22">
    <mergeCell ref="E27:F27"/>
    <mergeCell ref="H23:I23"/>
    <mergeCell ref="E17:F17"/>
    <mergeCell ref="E19:F19"/>
    <mergeCell ref="E21:F23"/>
    <mergeCell ref="E25:F25"/>
    <mergeCell ref="C7:I9"/>
    <mergeCell ref="E13:F13"/>
    <mergeCell ref="E15:F15"/>
    <mergeCell ref="C25:D25"/>
    <mergeCell ref="C27:D27"/>
    <mergeCell ref="C13:D13"/>
    <mergeCell ref="C15:D15"/>
    <mergeCell ref="C17:D17"/>
    <mergeCell ref="C19:D19"/>
    <mergeCell ref="C21:D21"/>
    <mergeCell ref="H13:I13"/>
    <mergeCell ref="H15:I15"/>
    <mergeCell ref="H17:I17"/>
    <mergeCell ref="H19:I19"/>
    <mergeCell ref="H21:I21"/>
    <mergeCell ref="H26:I29"/>
  </mergeCells>
  <dataValidations count="1">
    <dataValidation type="list" allowBlank="1" showInputMessage="1" showErrorMessage="1" sqref="E19:F19" xr:uid="{950CBC0B-2160-48A5-9231-B3D2676796AA}">
      <formula1>"Male,Female"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DF9B2-1DE5-4B5E-9E88-E1A55349A807}">
  <sheetPr codeName="Sheet4"/>
  <dimension ref="A1:K6"/>
  <sheetViews>
    <sheetView zoomScale="90" zoomScaleNormal="90" workbookViewId="0">
      <selection activeCell="K9" sqref="K9"/>
    </sheetView>
  </sheetViews>
  <sheetFormatPr defaultRowHeight="15" x14ac:dyDescent="0.25"/>
  <cols>
    <col min="1" max="1" width="12.28515625" style="11" customWidth="1"/>
    <col min="2" max="2" width="12" style="13" customWidth="1"/>
    <col min="3" max="3" width="16.5703125" style="12" customWidth="1"/>
    <col min="4" max="4" width="11.7109375" style="13" customWidth="1"/>
    <col min="5" max="5" width="15.85546875" style="12" customWidth="1"/>
    <col min="6" max="6" width="16.140625" style="12" customWidth="1"/>
    <col min="7" max="7" width="9.28515625" style="12" customWidth="1"/>
    <col min="8" max="8" width="12.7109375" style="12" customWidth="1"/>
    <col min="9" max="9" width="45.28515625" style="12" customWidth="1"/>
    <col min="10" max="10" width="14.85546875" style="12" customWidth="1"/>
    <col min="11" max="11" width="19.28515625" style="12" customWidth="1"/>
  </cols>
  <sheetData>
    <row r="1" spans="1:11" ht="15.75" thickBot="1" x14ac:dyDescent="0.3">
      <c r="A1" s="34" t="s">
        <v>37</v>
      </c>
      <c r="B1" s="35" t="s">
        <v>38</v>
      </c>
      <c r="C1" s="36" t="s">
        <v>36</v>
      </c>
      <c r="D1" s="35" t="s">
        <v>39</v>
      </c>
      <c r="E1" s="36" t="s">
        <v>40</v>
      </c>
      <c r="F1" s="36" t="s">
        <v>41</v>
      </c>
      <c r="G1" s="36" t="s">
        <v>42</v>
      </c>
      <c r="H1" s="36" t="s">
        <v>46</v>
      </c>
      <c r="I1" s="36" t="s">
        <v>43</v>
      </c>
      <c r="J1" s="36" t="s">
        <v>44</v>
      </c>
      <c r="K1" s="37" t="s">
        <v>45</v>
      </c>
    </row>
    <row r="2" spans="1:11" x14ac:dyDescent="0.25">
      <c r="A2" s="11">
        <v>54</v>
      </c>
      <c r="B2" s="13">
        <v>44930</v>
      </c>
      <c r="C2" s="12" t="s">
        <v>51</v>
      </c>
      <c r="D2" s="13">
        <v>35577</v>
      </c>
      <c r="E2" s="12" t="s">
        <v>52</v>
      </c>
      <c r="F2" s="12" t="s">
        <v>50</v>
      </c>
      <c r="G2" s="12" t="s">
        <v>47</v>
      </c>
      <c r="H2" s="12" t="s">
        <v>55</v>
      </c>
      <c r="I2" s="12" t="s">
        <v>56</v>
      </c>
      <c r="J2" s="12" t="s">
        <v>53</v>
      </c>
      <c r="K2" s="12" t="s">
        <v>54</v>
      </c>
    </row>
    <row r="3" spans="1:11" x14ac:dyDescent="0.25">
      <c r="A3" s="11">
        <v>2773</v>
      </c>
      <c r="B3" s="13">
        <v>44930</v>
      </c>
      <c r="C3" s="12" t="s">
        <v>57</v>
      </c>
      <c r="D3" s="13">
        <v>35293</v>
      </c>
      <c r="E3" s="12" t="s">
        <v>58</v>
      </c>
      <c r="F3" s="12" t="s">
        <v>59</v>
      </c>
      <c r="G3" s="12" t="s">
        <v>47</v>
      </c>
      <c r="H3" s="12" t="s">
        <v>62</v>
      </c>
      <c r="I3" s="12" t="s">
        <v>60</v>
      </c>
      <c r="J3" s="12" t="s">
        <v>61</v>
      </c>
      <c r="K3" s="12" t="s">
        <v>54</v>
      </c>
    </row>
    <row r="4" spans="1:11" x14ac:dyDescent="0.25">
      <c r="A4" s="11">
        <v>5001</v>
      </c>
      <c r="B4" s="13">
        <v>44930</v>
      </c>
      <c r="C4" s="12" t="s">
        <v>63</v>
      </c>
      <c r="D4" s="13">
        <v>34834</v>
      </c>
      <c r="E4" s="12" t="s">
        <v>64</v>
      </c>
      <c r="F4" s="12" t="s">
        <v>65</v>
      </c>
      <c r="G4" s="12" t="s">
        <v>47</v>
      </c>
      <c r="H4" s="12" t="s">
        <v>62</v>
      </c>
      <c r="I4" s="12" t="s">
        <v>66</v>
      </c>
      <c r="J4" s="12" t="s">
        <v>48</v>
      </c>
      <c r="K4" s="12" t="s">
        <v>49</v>
      </c>
    </row>
    <row r="5" spans="1:11" x14ac:dyDescent="0.25">
      <c r="A5" s="11">
        <v>35</v>
      </c>
      <c r="B5" s="13">
        <v>44930</v>
      </c>
      <c r="C5" s="12" t="s">
        <v>67</v>
      </c>
      <c r="D5" s="13">
        <v>36322</v>
      </c>
      <c r="E5" s="12" t="s">
        <v>68</v>
      </c>
      <c r="F5" s="12" t="s">
        <v>69</v>
      </c>
      <c r="G5" s="12" t="s">
        <v>70</v>
      </c>
      <c r="H5" s="12" t="s">
        <v>74</v>
      </c>
      <c r="I5" s="12" t="s">
        <v>71</v>
      </c>
      <c r="J5" s="12" t="s">
        <v>72</v>
      </c>
      <c r="K5" s="12" t="s">
        <v>73</v>
      </c>
    </row>
    <row r="6" spans="1:11" x14ac:dyDescent="0.25">
      <c r="A6" s="11">
        <v>314</v>
      </c>
      <c r="B6" s="13">
        <v>44951</v>
      </c>
      <c r="C6" s="12" t="s">
        <v>75</v>
      </c>
      <c r="D6" s="13">
        <v>36052</v>
      </c>
      <c r="E6" s="12" t="s">
        <v>76</v>
      </c>
      <c r="F6" s="12" t="s">
        <v>77</v>
      </c>
      <c r="G6" s="12" t="s">
        <v>70</v>
      </c>
      <c r="H6" s="12" t="s">
        <v>80</v>
      </c>
      <c r="I6" s="12" t="s">
        <v>78</v>
      </c>
      <c r="J6" s="12" t="s">
        <v>81</v>
      </c>
      <c r="K6" s="12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1(solution)</vt:lpstr>
      <vt:lpstr>1 (verify)</vt:lpstr>
      <vt:lpstr>2</vt:lpstr>
      <vt:lpstr>2(Dataset)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raman rar</cp:lastModifiedBy>
  <dcterms:created xsi:type="dcterms:W3CDTF">2015-06-05T18:17:20Z</dcterms:created>
  <dcterms:modified xsi:type="dcterms:W3CDTF">2023-01-17T08:07:23Z</dcterms:modified>
</cp:coreProperties>
</file>